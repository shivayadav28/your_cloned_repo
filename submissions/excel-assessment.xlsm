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7bdc3b0045d9402/Desktop/MapUp-DA-Assessment-2024-main/"/>
    </mc:Choice>
  </mc:AlternateContent>
  <xr:revisionPtr revIDLastSave="198" documentId="13_ncr:1_{DCFAE75F-9014-204F-9FF0-0E1BF7430B80}" xr6:coauthVersionLast="47" xr6:coauthVersionMax="47" xr10:uidLastSave="{A58EEC99-3CEC-4F96-83CA-883E2F861B2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3" i="20" l="1"/>
  <c r="E24" i="20" a="1"/>
  <c r="E24" i="20" s="1"/>
  <c r="D24" i="20" a="1"/>
  <c r="D24" i="20" s="1"/>
  <c r="F24" i="20" s="1"/>
  <c r="E23" i="20"/>
  <c r="D23" i="20"/>
  <c r="C28" i="18"/>
  <c r="D28" i="18"/>
  <c r="E28" i="18"/>
  <c r="F28" i="18"/>
  <c r="C22" i="19" a="1"/>
  <c r="C22" i="19" s="1"/>
  <c r="C30" i="18"/>
  <c r="D30" i="18"/>
  <c r="E30" i="18"/>
  <c r="F30" i="18"/>
  <c r="B30" i="18"/>
  <c r="C29" i="18"/>
  <c r="D29" i="18"/>
  <c r="E29" i="18"/>
  <c r="F29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F6" i="18"/>
  <c r="E6" i="18"/>
  <c r="D6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H41" i="1"/>
  <c r="F32" i="20" l="1"/>
  <c r="F35" i="20"/>
  <c r="F30" i="20"/>
  <c r="F34" i="20"/>
  <c r="F29" i="20"/>
  <c r="F33" i="20"/>
  <c r="F31" i="20"/>
  <c r="F28" i="20"/>
  <c r="F27" i="20"/>
  <c r="F26" i="20"/>
  <c r="F25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<sst xmlns="http://schemas.openxmlformats.org/spreadsheetml/2006/main" count="408" uniqueCount="182">
  <si>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</si>
  <si>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</si>
  <si>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</si>
  <si>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</si>
  <si>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</si>
  <si>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</si>
  <si>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</si>
  <si>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</si>
  <si>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</si>
  <si>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</si>
  <si>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</si>
  <si>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</si>
  <si>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</si>
  <si>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</si>
  <si>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</si>
  <si>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</si>
  <si>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</si>
  <si>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</si>
  <si>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</si>
  <si>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</si>
  <si>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</si>
  <si>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</si>
  <si>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</si>
  <si>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</si>
  <si>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</si>
  <si>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</si>
  <si>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</si>
  <si>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</si>
  <si>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</si>
  <si>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</si>
  <si>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</si>
  <si>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</si>
  <si>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</si>
  <si>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</si>
  <si>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</si>
  <si>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</si>
  <si>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</si>
  <si>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</si>
  <si>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</si>
  <si>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</si>
  <si>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</si>
  <si>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</si>
  <si>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</si>
  <si>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</si>
  <si>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</si>
  <si>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</si>
  <si>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</si>
  <si>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</si>
  <si>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</si>
  <si>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</si>
  <si>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</si>
  <si>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</si>
  <si>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</si>
  <si>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</si>
  <si>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</si>
  <si>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</si>
  <si>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</si>
  <si>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</si>
  <si>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</si>
  <si>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</si>
  <si>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</si>
  <si>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</si>
  <si>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</si>
  <si>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</si>
  <si>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</si>
  <si>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</si>
  <si>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</si>
  <si>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</si>
  <si>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</si>
  <si>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</si>
  <si>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</si>
  <si>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</si>
  <si>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</si>
  <si>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</si>
  <si>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</si>
  <si>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</si>
  <si>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</si>
  <si>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</si>
  <si>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</si>
  <si>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</si>
  <si>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</si>
  <si>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</si>
  <si>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</si>
  <si>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</si>
  <si>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</si>
  <si>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</si>
  <si>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</si>
  <si>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</si>
  <si>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</si>
  <si>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</si>
  <si>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</si>
  <si>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</si>
  <si>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</si>
  <si>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</si>
  <si>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</si>
  <si>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</si>
  <si>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</si>
  <si>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</si>
  <si>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</si>
  <si>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</si>
  <si>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</si>
  <si>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</si>
  <si>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</si>
  <si>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</si>
  <si>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</si>
  <si>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</si>
  <si>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</si>
  <si>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</si>
  <si>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</si>
  <si>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</si>
  <si>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</si>
  <si>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</si>
  <si>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</si>
  <si>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</si>
  <si>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</si>
  <si>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</si>
  <si>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</si>
  <si>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</si>
  <si>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</si>
  <si>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</si>
  <si>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</si>
  <si>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</si>
  <si>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</si>
  <si>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</si>
  <si>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</si>
  <si>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</si>
  <si>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</si>
  <si>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</si>
  <si>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</si>
  <si>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</si>
  <si>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</si>
  <si>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</si>
  <si>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</si>
  <si>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</si>
  <si>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</si>
  <si>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</si>
  <si>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</si>
  <si>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</si>
  <si>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</si>
  <si>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</si>
  <si>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</si>
  <si>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</si>
  <si>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</si>
  <si>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</si>
  <si>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</si>
  <si>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</si>
  <si>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</si>
  <si>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</si>
  <si>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</si>
  <si>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</si>
  <si>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</si>
  <si>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</si>
  <si>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</si>
  <si>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</si>
  <si>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</si>
  <si>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</si>
  <si>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</si>
  <si>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</si>
  <si>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</si>
  <si>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</si>
  <si>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</si>
  <si>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</si>
  <si>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</si>
  <si>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</si>
  <si>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</si>
  <si>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</si>
  <si>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</si>
  <si>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</si>
  <si>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</si>
  <si>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</si>
  <si>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</si>
  <si>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</si>
  <si>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</si>
  <si>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</si>
  <si>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</si>
  <si>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</si>
  <si>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</si>
  <si>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SUM(IFNA(C12:C21,20))</t>
  </si>
  <si>
    <t>The formula is used is sum to total the value in sales column and ith IFNA function is used as there were some of the rows were value was #N/A so it was replaced by 20.</t>
  </si>
  <si>
    <t>SUMIF(H2:H40,"&gt;20",H2:H40)</t>
  </si>
  <si>
    <t>There are three table,Table _A which consist of data ,Table_B consist of ID and Name where name is taken from Table_A and Table_C consist of 3 columns name_1 which contain ID from table_B and Name_2 which contain ID of table_B .so, now the value can be extracted by using the Index and match function , as the name_1 column is ID is Extracted from Table_B and similarly name_2,then by using this two column we used the index and match function to extract the value from table_A.</t>
  </si>
  <si>
    <t>INDEX($B$10:$J$18,MATCH(D23,$A$10:$A$18,0),MATCH(E23,$B$9:$J$9,0))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</si>
</sst>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6" fontId="3" fillId="0" borderId="0" xfId="0" applyNumberFormat="1" applyFont="1"/>
    <xf numFmtId="0" fontId="3" fillId="0" borderId="0" xfId="0" applyFont="1" applyAlignment="1">
      <alignment wrapText="1"/>
    </xf>
    <xf numFmtId="0" fontId="3" fillId="0" borderId="0" xfId="0" applyFont="1" applyAlignment="1">
      <alignment vertical="center" wrapText="1"/>
    </xf>
    <xf numFmtId="0" fontId="8" fillId="0" borderId="0" xfId="0" applyFont="1" applyAlignment="1">
      <alignment horizontal="right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5" t="s">
        <v>170</v>
      </c>
      <c r="B9" s="26" t="s">
        <v>168</v>
      </c>
    </row>
    <row r="10" spans="1:3" x14ac:dyDescent="0.3">
      <c r="A10" s="34" t="s">
        <v>171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Normal="100" workbookViewId="0">
      <pane ySplit="1" topLeftCell="A2" activePane="bottomLeft" state="frozen"/>
      <selection pane="bottomLeft" activeCell="Y34" sqref="Y34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 x14ac:dyDescent="0.3">
      <c r="H41" s="1">
        <f>SUMIF(H2:H40,"&gt;20",H2:H40)</f>
        <v>1473.0000000000002</v>
      </c>
    </row>
  </sheetData>
  <conditionalFormatting sqref="G1:X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opLeftCell="B1" zoomScaleNormal="100" workbookViewId="0">
      <selection activeCell="C8" sqref="C8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">
      <c r="A2" s="2"/>
      <c r="B2" s="5" t="s">
        <v>159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3" t="s">
        <v>179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H25" sqref="H25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163</v>
      </c>
    </row>
    <row r="2" spans="1:7" s="40" customFormat="1" ht="21" x14ac:dyDescent="0.4">
      <c r="B2" s="40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161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VLOOKUP(A6,Dataset!A1:X40,7,FALSE)</f>
        <v>2.7</v>
      </c>
      <c r="C6" s="12">
        <f>VLOOKUP(A6,Dataset!A1:X40,14,FALSE)</f>
        <v>7.6</v>
      </c>
      <c r="D6" s="12">
        <f>VLOOKUP(A6,Dataset!A1:X40,18,FALSE)</f>
        <v>4.2</v>
      </c>
      <c r="E6" s="12">
        <f>VLOOKUP(A6,Dataset!A1:X40,20,FALSE)</f>
        <v>8.9</v>
      </c>
      <c r="F6" s="8">
        <f>VLOOKUP(A6,Dataset!A1:X40,22,FALSE)</f>
        <v>4.2</v>
      </c>
    </row>
    <row r="7" spans="1:7" ht="14.4" x14ac:dyDescent="0.3">
      <c r="A7" s="7" t="s">
        <v>4</v>
      </c>
      <c r="B7" s="12">
        <f>VLOOKUP(A7,Dataset!A2:X41,7,FALSE)</f>
        <v>2.7</v>
      </c>
      <c r="C7" s="12">
        <f>VLOOKUP(A7,Dataset!A2:X41,14,FALSE)</f>
        <v>7.6</v>
      </c>
      <c r="D7" s="12">
        <f>VLOOKUP(A7,Dataset!A2:X41,18,FALSE)</f>
        <v>4.2</v>
      </c>
      <c r="E7" s="12">
        <f>VLOOKUP(A7,Dataset!A2:X41,20,FALSE)</f>
        <v>8.9</v>
      </c>
      <c r="F7" s="8">
        <f>VLOOKUP(A7,Dataset!A2:X41,22,FALSE)</f>
        <v>4.2</v>
      </c>
    </row>
    <row r="8" spans="1:7" ht="14.4" x14ac:dyDescent="0.3">
      <c r="A8" s="7" t="s">
        <v>7</v>
      </c>
      <c r="B8" s="12">
        <f>VLOOKUP(A8,Dataset!A3:X42,7,FALSE)</f>
        <v>3.6</v>
      </c>
      <c r="C8" s="12">
        <f>VLOOKUP(A8,Dataset!A3:X42,14,FALSE)</f>
        <v>11.1</v>
      </c>
      <c r="D8" s="12">
        <f>VLOOKUP(A8,Dataset!A3:X42,18,FALSE)</f>
        <v>5.8</v>
      </c>
      <c r="E8" s="12">
        <f>VLOOKUP(A8,Dataset!A3:X42,20,FALSE)</f>
        <v>12.2</v>
      </c>
      <c r="F8" s="8">
        <f>VLOOKUP(A8,Dataset!A3:X42,22,FALSE)</f>
        <v>5.8</v>
      </c>
    </row>
    <row r="9" spans="1:7" ht="14.4" x14ac:dyDescent="0.3">
      <c r="A9" s="7" t="s">
        <v>8</v>
      </c>
      <c r="B9" s="12">
        <f>VLOOKUP(A9,Dataset!A4:X43,7,FALSE)</f>
        <v>4.9000000000000004</v>
      </c>
      <c r="C9" s="12">
        <f>VLOOKUP(A9,Dataset!A4:X43,14,FALSE)</f>
        <v>13.3</v>
      </c>
      <c r="D9" s="12">
        <f>VLOOKUP(A9,Dataset!A4:X43,18,FALSE)</f>
        <v>8.1</v>
      </c>
      <c r="E9" s="12">
        <f>VLOOKUP(A9,Dataset!A4:X43,20,FALSE)</f>
        <v>17</v>
      </c>
      <c r="F9" s="8">
        <f>VLOOKUP(A9,Dataset!A4:X43,22,FALSE)</f>
        <v>8.1</v>
      </c>
    </row>
    <row r="10" spans="1:7" ht="14.4" x14ac:dyDescent="0.3">
      <c r="A10" s="7" t="s">
        <v>11</v>
      </c>
      <c r="B10" s="12">
        <f>VLOOKUP(A10,Dataset!A5:X44,7,FALSE)</f>
        <v>9.4</v>
      </c>
      <c r="C10" s="12">
        <f>VLOOKUP(A10,Dataset!A5:X44,14,FALSE)</f>
        <v>28.3</v>
      </c>
      <c r="D10" s="12">
        <f>VLOOKUP(A10,Dataset!A5:X44,18,FALSE)</f>
        <v>16.100000000000001</v>
      </c>
      <c r="E10" s="12">
        <f>VLOOKUP(A10,Dataset!A5:X44,20,FALSE)</f>
        <v>32.799999999999997</v>
      </c>
      <c r="F10" s="8">
        <f>VLOOKUP(A10,Dataset!A5:X44,22,FALSE)</f>
        <v>16.100000000000001</v>
      </c>
    </row>
    <row r="11" spans="1:7" ht="14.4" x14ac:dyDescent="0.3">
      <c r="A11" s="7" t="s">
        <v>12</v>
      </c>
      <c r="B11" s="12">
        <f>VLOOKUP(A11,Dataset!A6:X45,7,FALSE)</f>
        <v>11.6</v>
      </c>
      <c r="C11" s="12">
        <f>VLOOKUP(A11,Dataset!A6:X45,14,FALSE)</f>
        <v>35.200000000000003</v>
      </c>
      <c r="D11" s="12">
        <f>VLOOKUP(A11,Dataset!A6:X45,18,FALSE)</f>
        <v>21.3</v>
      </c>
      <c r="E11" s="12">
        <f>VLOOKUP(A11,Dataset!A6:X45,20,FALSE)</f>
        <v>43</v>
      </c>
      <c r="F11" s="8">
        <f>VLOOKUP(A11,Dataset!A6:X45,22,FALSE)</f>
        <v>21.3</v>
      </c>
    </row>
    <row r="12" spans="1:7" ht="14.4" x14ac:dyDescent="0.3">
      <c r="A12" s="7" t="s">
        <v>14</v>
      </c>
      <c r="B12" s="12">
        <f>VLOOKUP(A12,Dataset!A7:X46,7,FALSE)</f>
        <v>18.399999999999999</v>
      </c>
      <c r="C12" s="12">
        <f>VLOOKUP(A12,Dataset!A7:X46,14,FALSE)</f>
        <v>55.6</v>
      </c>
      <c r="D12" s="12">
        <f>VLOOKUP(A12,Dataset!A7:X46,18,FALSE)</f>
        <v>33.799999999999997</v>
      </c>
      <c r="E12" s="12">
        <f>VLOOKUP(A12,Dataset!A7:X46,20,FALSE)</f>
        <v>67.900000000000006</v>
      </c>
      <c r="F12" s="8">
        <f>VLOOKUP(A12,Dataset!A7:X46,22,FALSE)</f>
        <v>33.799999999999997</v>
      </c>
    </row>
    <row r="13" spans="1:7" ht="14.4" x14ac:dyDescent="0.3">
      <c r="A13" s="7" t="s">
        <v>15</v>
      </c>
      <c r="B13" s="12">
        <f>VLOOKUP(A13,Dataset!A8:X47,7,FALSE)</f>
        <v>0</v>
      </c>
      <c r="C13" s="12">
        <f>VLOOKUP(A13,Dataset!A8:X47,14,FALSE)</f>
        <v>0</v>
      </c>
      <c r="D13" s="12">
        <f>VLOOKUP(A13,Dataset!A8:X47,18,FALSE)</f>
        <v>0</v>
      </c>
      <c r="E13" s="12">
        <f>VLOOKUP(A13,Dataset!A8:X47,20,FALSE)</f>
        <v>0</v>
      </c>
      <c r="F13" s="8">
        <f>VLOOKUP(A13,Dataset!A8:X47,22,FALSE)</f>
        <v>0</v>
      </c>
    </row>
    <row r="14" spans="1:7" ht="14.4" x14ac:dyDescent="0.3">
      <c r="A14" s="7" t="s">
        <v>16</v>
      </c>
      <c r="B14" s="12">
        <f>VLOOKUP(A14,Dataset!A9:X48,7,FALSE)</f>
        <v>21.9</v>
      </c>
      <c r="C14" s="12">
        <f>VLOOKUP(A14,Dataset!A9:X48,14,FALSE)</f>
        <v>61.5</v>
      </c>
      <c r="D14" s="12">
        <f>VLOOKUP(A14,Dataset!A9:X48,18,FALSE)</f>
        <v>40.1</v>
      </c>
      <c r="E14" s="12">
        <f>VLOOKUP(A14,Dataset!A9:X48,20,FALSE)</f>
        <v>76.599999999999994</v>
      </c>
      <c r="F14" s="8">
        <f>VLOOKUP(A14,Dataset!A9:X48,22,FALSE)</f>
        <v>40.1</v>
      </c>
    </row>
    <row r="15" spans="1:7" ht="14.4" x14ac:dyDescent="0.3">
      <c r="A15" s="7" t="s">
        <v>18</v>
      </c>
      <c r="B15" s="12">
        <f>VLOOKUP(A15,Dataset!A10:X49,7,FALSE)</f>
        <v>26.8</v>
      </c>
      <c r="C15" s="12">
        <f>VLOOKUP(A15,Dataset!A10:X49,14,FALSE)</f>
        <v>79.599999999999994</v>
      </c>
      <c r="D15" s="12">
        <f>VLOOKUP(A15,Dataset!A10:X49,18,FALSE)</f>
        <v>47.9</v>
      </c>
      <c r="E15" s="12">
        <f>VLOOKUP(A15,Dataset!A10:X49,20,FALSE)</f>
        <v>96.8</v>
      </c>
      <c r="F15" s="8">
        <f>VLOOKUP(A15,Dataset!A10:X49,22,FALSE)</f>
        <v>47.9</v>
      </c>
    </row>
    <row r="16" spans="1:7" ht="14.4" x14ac:dyDescent="0.3">
      <c r="A16" s="7" t="s">
        <v>20</v>
      </c>
      <c r="B16" s="12">
        <f>VLOOKUP(A16,Dataset!A11:X50,7,FALSE)</f>
        <v>28.5</v>
      </c>
      <c r="C16" s="12">
        <f>VLOOKUP(A16,Dataset!A11:X50,14,FALSE)</f>
        <v>85.4</v>
      </c>
      <c r="D16" s="12">
        <f>VLOOKUP(A16,Dataset!A11:X50,18,FALSE)</f>
        <v>52.3</v>
      </c>
      <c r="E16" s="12">
        <f>VLOOKUP(A16,Dataset!A11:X50,20,FALSE)</f>
        <v>106.1</v>
      </c>
      <c r="F16" s="8">
        <f>VLOOKUP(A16,Dataset!A11:X50,22,FALSE)</f>
        <v>52.3</v>
      </c>
    </row>
    <row r="17" spans="1:6" ht="14.4" x14ac:dyDescent="0.3">
      <c r="A17" s="7" t="s">
        <v>22</v>
      </c>
      <c r="B17" s="12">
        <f>VLOOKUP(A17,Dataset!A12:X51,7,FALSE)</f>
        <v>30.7</v>
      </c>
      <c r="C17" s="12">
        <f>VLOOKUP(A17,Dataset!A12:X51,14,FALSE)</f>
        <v>92.1</v>
      </c>
      <c r="D17" s="12">
        <f>VLOOKUP(A17,Dataset!A12:X51,18,FALSE)</f>
        <v>57</v>
      </c>
      <c r="E17" s="12">
        <f>VLOOKUP(A17,Dataset!A12:X51,20,FALSE)</f>
        <v>115.1</v>
      </c>
      <c r="F17" s="8">
        <f>VLOOKUP(A17,Dataset!A12:X51,22,FALSE)</f>
        <v>57</v>
      </c>
    </row>
    <row r="18" spans="1:6" ht="14.4" x14ac:dyDescent="0.3">
      <c r="A18" s="7" t="s">
        <v>23</v>
      </c>
      <c r="B18" s="12">
        <f>VLOOKUP(A18,Dataset!A13:X52,7,FALSE)</f>
        <v>33.799999999999997</v>
      </c>
      <c r="C18" s="12">
        <f>VLOOKUP(A18,Dataset!A13:X52,14,FALSE)</f>
        <v>101.3</v>
      </c>
      <c r="D18" s="12">
        <f>VLOOKUP(A18,Dataset!A13:X52,18,FALSE)</f>
        <v>61.4</v>
      </c>
      <c r="E18" s="12">
        <f>VLOOKUP(A18,Dataset!A13:X52,20,FALSE)</f>
        <v>124.4</v>
      </c>
      <c r="F18" s="8">
        <f>VLOOKUP(A18,Dataset!A13:X52,22,FALSE)</f>
        <v>61.4</v>
      </c>
    </row>
    <row r="19" spans="1:6" ht="14.4" x14ac:dyDescent="0.3">
      <c r="A19" s="7" t="s">
        <v>24</v>
      </c>
      <c r="B19" s="12">
        <f>VLOOKUP(A19,Dataset!A14:X53,7,FALSE)</f>
        <v>34.700000000000003</v>
      </c>
      <c r="C19" s="12">
        <f>VLOOKUP(A19,Dataset!A14:X53,14,FALSE)</f>
        <v>106.1</v>
      </c>
      <c r="D19" s="12">
        <f>VLOOKUP(A19,Dataset!A14:X53,18,FALSE)</f>
        <v>63.6</v>
      </c>
      <c r="E19" s="12">
        <f>VLOOKUP(A19,Dataset!A14:X53,20,FALSE)</f>
        <v>128.6</v>
      </c>
      <c r="F19" s="8">
        <f>VLOOKUP(A19,Dataset!A14:X53,22,FALSE)</f>
        <v>63.6</v>
      </c>
    </row>
    <row r="20" spans="1:6" ht="14.4" x14ac:dyDescent="0.3">
      <c r="A20" s="7" t="s">
        <v>28</v>
      </c>
      <c r="B20" s="12">
        <f>VLOOKUP(A20,Dataset!A15:X54,7,FALSE)</f>
        <v>0</v>
      </c>
      <c r="C20" s="12">
        <f>VLOOKUP(A20,Dataset!A15:X54,14,FALSE)</f>
        <v>0</v>
      </c>
      <c r="D20" s="12">
        <f>VLOOKUP(A20,Dataset!A15:X54,18,FALSE)</f>
        <v>0</v>
      </c>
      <c r="E20" s="12">
        <f>VLOOKUP(A20,Dataset!A15:X54,20,FALSE)</f>
        <v>0</v>
      </c>
      <c r="F20" s="8">
        <f>VLOOKUP(A20,Dataset!A15:X54,22,FALSE)</f>
        <v>0</v>
      </c>
    </row>
    <row r="21" spans="1:6" ht="14.4" x14ac:dyDescent="0.3">
      <c r="A21" s="7" t="s">
        <v>57</v>
      </c>
      <c r="B21" s="12">
        <f>VLOOKUP(A21,Dataset!A16:X55,7,FALSE)</f>
        <v>41.3</v>
      </c>
      <c r="C21" s="12">
        <f>VLOOKUP(A21,Dataset!A16:X55,14,FALSE)</f>
        <v>124.4</v>
      </c>
      <c r="D21" s="12">
        <f>VLOOKUP(A21,Dataset!A16:X55,18,FALSE)</f>
        <v>75</v>
      </c>
      <c r="E21" s="12">
        <f>VLOOKUP(A21,Dataset!A16:X55,20,FALSE)</f>
        <v>151.5</v>
      </c>
      <c r="F21" s="8">
        <f>VLOOKUP(A21,Dataset!A16:X55,22,FALSE)</f>
        <v>75</v>
      </c>
    </row>
    <row r="22" spans="1:6" ht="14.4" x14ac:dyDescent="0.3">
      <c r="A22" s="7" t="s">
        <v>58</v>
      </c>
      <c r="B22" s="12">
        <f>VLOOKUP(A22,Dataset!A17:X56,7,FALSE)</f>
        <v>-1</v>
      </c>
      <c r="C22" s="12">
        <f>VLOOKUP(A22,Dataset!A17:X56,14,FALSE)</f>
        <v>-1</v>
      </c>
      <c r="D22" s="12">
        <f>VLOOKUP(A22,Dataset!A17:X56,18,FALSE)</f>
        <v>-1</v>
      </c>
      <c r="E22" s="12">
        <f>VLOOKUP(A22,Dataset!A17:X56,20,FALSE)</f>
        <v>-1</v>
      </c>
      <c r="F22" s="8">
        <f>VLOOKUP(A22,Dataset!A17:X56,22,FALSE)</f>
        <v>-1</v>
      </c>
    </row>
    <row r="23" spans="1:6" ht="14.4" x14ac:dyDescent="0.3">
      <c r="A23" s="7" t="s">
        <v>31</v>
      </c>
      <c r="B23" s="12">
        <f>VLOOKUP(A23,Dataset!A18:X57,7,FALSE)</f>
        <v>45</v>
      </c>
      <c r="C23" s="12">
        <f>VLOOKUP(A23,Dataset!A18:X57,14,FALSE)</f>
        <v>133.4</v>
      </c>
      <c r="D23" s="12">
        <f>VLOOKUP(A23,Dataset!A18:X57,18,FALSE)</f>
        <v>79.400000000000006</v>
      </c>
      <c r="E23" s="12">
        <f>VLOOKUP(A23,Dataset!A18:X57,20,FALSE)</f>
        <v>160.9</v>
      </c>
      <c r="F23" s="8">
        <f>VLOOKUP(A23,Dataset!A18:X57,22,FALSE)</f>
        <v>79.400000000000006</v>
      </c>
    </row>
    <row r="24" spans="1:6" ht="14.4" x14ac:dyDescent="0.3">
      <c r="A24" s="7" t="s">
        <v>32</v>
      </c>
      <c r="B24" s="12">
        <f>VLOOKUP(A24,Dataset!A19:X58,7,FALSE)</f>
        <v>-1</v>
      </c>
      <c r="C24" s="12">
        <f>VLOOKUP(A24,Dataset!A19:X58,14,FALSE)</f>
        <v>-1</v>
      </c>
      <c r="D24" s="12">
        <f>VLOOKUP(A24,Dataset!A19:X58,18,FALSE)</f>
        <v>-1</v>
      </c>
      <c r="E24" s="12">
        <f>VLOOKUP(A24,Dataset!A19:X58,20,FALSE)</f>
        <v>-1</v>
      </c>
      <c r="F24" s="8">
        <f>VLOOKUP(A24,Dataset!A19:X58,22,FALSE)</f>
        <v>-1</v>
      </c>
    </row>
    <row r="25" spans="1:6" ht="14.4" x14ac:dyDescent="0.3">
      <c r="A25" s="7" t="s">
        <v>34</v>
      </c>
      <c r="B25" s="12">
        <f>VLOOKUP(A25,Dataset!A20:X59,7,FALSE)</f>
        <v>43.3</v>
      </c>
      <c r="C25" s="12">
        <f>VLOOKUP(A25,Dataset!A20:X59,14,FALSE)</f>
        <v>128.6</v>
      </c>
      <c r="D25" s="12">
        <f>VLOOKUP(A25,Dataset!A20:X59,18,FALSE)</f>
        <v>79.400000000000006</v>
      </c>
      <c r="E25" s="12">
        <f>VLOOKUP(A25,Dataset!A20:X59,20,FALSE)</f>
        <v>160.9</v>
      </c>
      <c r="F25" s="8">
        <f>VLOOKUP(A25,Dataset!A20:X59,22,FALSE)</f>
        <v>79.400000000000006</v>
      </c>
    </row>
    <row r="26" spans="1:6" ht="14.4" x14ac:dyDescent="0.3">
      <c r="A26" s="7" t="s">
        <v>37</v>
      </c>
      <c r="B26" s="12">
        <f>VLOOKUP(A26,Dataset!A21:X60,7,FALSE)</f>
        <v>49.1</v>
      </c>
      <c r="C26" s="12">
        <f>VLOOKUP(A26,Dataset!A21:X60,14,FALSE)</f>
        <v>146.80000000000001</v>
      </c>
      <c r="D26" s="12">
        <f>VLOOKUP(A26,Dataset!A21:X60,18,FALSE)</f>
        <v>90.9</v>
      </c>
      <c r="E26" s="12">
        <f>VLOOKUP(A26,Dataset!A21:X60,20,FALSE)</f>
        <v>183.5</v>
      </c>
      <c r="F26" s="8">
        <f>VLOOKUP(A26,Dataset!A21:X60,22,FALSE)</f>
        <v>90.9</v>
      </c>
    </row>
    <row r="27" spans="1:6" ht="14.4" x14ac:dyDescent="0.3">
      <c r="A27" s="7" t="s">
        <v>39</v>
      </c>
      <c r="B27" s="12">
        <f>VLOOKUP(A27,Dataset!A22:X61,7,FALSE)</f>
        <v>51.8</v>
      </c>
      <c r="C27" s="12">
        <f>VLOOKUP(A27,Dataset!A22:X61,14,FALSE)</f>
        <v>156.4</v>
      </c>
      <c r="D27" s="12">
        <f>VLOOKUP(A27,Dataset!A22:X61,18,FALSE)</f>
        <v>93.1</v>
      </c>
      <c r="E27" s="12">
        <f>VLOOKUP(A27,Dataset!A22:X61,20,FALSE)</f>
        <v>188.1</v>
      </c>
      <c r="F27" s="8">
        <f>VLOOKUP(A27,Dataset!A22:X61,22,FALSE)</f>
        <v>93.1</v>
      </c>
    </row>
    <row r="28" spans="1:6" ht="14.4" x14ac:dyDescent="0.3">
      <c r="A28" s="19" t="s">
        <v>82</v>
      </c>
      <c r="B28" s="17">
        <f>MIN(B6:B27)</f>
        <v>-1</v>
      </c>
      <c r="C28" s="17">
        <f t="shared" ref="C28:F28" si="0">MIN(C6:C27)</f>
        <v>-1</v>
      </c>
      <c r="D28" s="17">
        <f t="shared" si="0"/>
        <v>-1</v>
      </c>
      <c r="E28" s="17">
        <f t="shared" si="0"/>
        <v>-1</v>
      </c>
      <c r="F28" s="17">
        <f t="shared" si="0"/>
        <v>-1</v>
      </c>
    </row>
    <row r="29" spans="1:6" ht="14.4" x14ac:dyDescent="0.3">
      <c r="A29" s="19" t="s">
        <v>83</v>
      </c>
      <c r="B29" s="17">
        <f>MAX(B6:B27)</f>
        <v>51.8</v>
      </c>
      <c r="C29" s="17">
        <f t="shared" ref="C29:F29" si="1">MAX(C6:C27)</f>
        <v>156.4</v>
      </c>
      <c r="D29" s="17">
        <f t="shared" si="1"/>
        <v>93.1</v>
      </c>
      <c r="E29" s="17">
        <f t="shared" si="1"/>
        <v>188.1</v>
      </c>
      <c r="F29" s="17">
        <f t="shared" si="1"/>
        <v>93.1</v>
      </c>
    </row>
    <row r="30" spans="1:6" ht="14.4" x14ac:dyDescent="0.3">
      <c r="A30" s="19" t="s">
        <v>84</v>
      </c>
      <c r="B30" s="17">
        <f>AVERAGE(B6:B27)</f>
        <v>20.827272727272728</v>
      </c>
      <c r="C30" s="17">
        <f t="shared" ref="C30:F30" si="2">AVERAGE(C6:C27)</f>
        <v>62.377272727272725</v>
      </c>
      <c r="D30" s="17">
        <f t="shared" si="2"/>
        <v>37.800000000000004</v>
      </c>
      <c r="E30" s="17">
        <f t="shared" si="2"/>
        <v>76.418181818181822</v>
      </c>
      <c r="F30" s="17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8" zoomScaleNormal="100" workbookViewId="0">
      <selection activeCell="H19" sqref="H19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2" t="s">
        <v>53</v>
      </c>
      <c r="B5" s="39"/>
    </row>
    <row r="6" spans="1:10" ht="18" x14ac:dyDescent="0.35">
      <c r="A6" s="42" t="s">
        <v>152</v>
      </c>
      <c r="B6" s="39"/>
    </row>
    <row r="7" spans="1:10" ht="18" x14ac:dyDescent="0.35">
      <c r="A7" s="42"/>
      <c r="B7" s="39"/>
    </row>
    <row r="9" spans="1:10" ht="23.4" x14ac:dyDescent="0.45">
      <c r="A9" s="18" t="s">
        <v>164</v>
      </c>
      <c r="I9" s="2"/>
      <c r="J9" s="2"/>
    </row>
    <row r="10" spans="1:10" x14ac:dyDescent="0.3">
      <c r="A10" s="32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161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120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121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122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123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124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125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126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127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128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129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130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131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132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133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134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135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136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137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138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139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140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141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142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143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144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145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146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147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148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149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111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112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113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114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115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116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117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118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119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8" sqref="B8"/>
    </sheetView>
  </sheetViews>
  <sheetFormatPr defaultColWidth="11" defaultRowHeight="13.8" x14ac:dyDescent="0.3"/>
  <cols>
    <col min="1" max="1" width="28.21875" style="2" bestFit="1" customWidth="1"/>
    <col min="2" max="2" width="23.109375" style="2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166</v>
      </c>
    </row>
    <row r="2" spans="1:3" ht="18" x14ac:dyDescent="0.35">
      <c r="B2" s="39" t="s">
        <v>165</v>
      </c>
    </row>
    <row r="5" spans="1:3" ht="14.4" x14ac:dyDescent="0.3">
      <c r="B5" s="1" t="s">
        <v>150</v>
      </c>
    </row>
    <row r="6" spans="1:3" ht="14.4" x14ac:dyDescent="0.3">
      <c r="A6" s="3" t="s">
        <v>53</v>
      </c>
      <c r="B6" s="1" t="s">
        <v>177</v>
      </c>
    </row>
    <row r="7" spans="1:3" ht="100.8" x14ac:dyDescent="0.3">
      <c r="A7" s="3" t="s">
        <v>152</v>
      </c>
      <c r="B7" s="46" t="s">
        <v>178</v>
      </c>
    </row>
    <row r="10" spans="1:3" ht="23.4" x14ac:dyDescent="0.45">
      <c r="A10" s="18" t="s">
        <v>161</v>
      </c>
    </row>
    <row r="11" spans="1:3" ht="14.4" x14ac:dyDescent="0.3">
      <c r="A11" s="31" t="s">
        <v>86</v>
      </c>
      <c r="B11" s="17" t="s">
        <v>87</v>
      </c>
      <c r="C11" s="17" t="s">
        <v>88</v>
      </c>
    </row>
    <row r="12" spans="1:3" ht="14.4" x14ac:dyDescent="0.3">
      <c r="A12" s="31">
        <v>44927</v>
      </c>
      <c r="B12" s="17" t="s">
        <v>59</v>
      </c>
      <c r="C12" s="17">
        <v>200</v>
      </c>
    </row>
    <row r="13" spans="1:3" ht="14.4" x14ac:dyDescent="0.3">
      <c r="A13" s="31">
        <v>44928</v>
      </c>
      <c r="B13" s="17" t="s">
        <v>60</v>
      </c>
      <c r="C13" s="17" t="e">
        <v>#N/A</v>
      </c>
    </row>
    <row r="14" spans="1:3" ht="14.4" x14ac:dyDescent="0.3">
      <c r="A14" s="31">
        <v>44929</v>
      </c>
      <c r="B14" s="17" t="s">
        <v>61</v>
      </c>
      <c r="C14" s="17">
        <v>50</v>
      </c>
    </row>
    <row r="15" spans="1:3" ht="14.4" x14ac:dyDescent="0.3">
      <c r="A15" s="31">
        <v>44930</v>
      </c>
      <c r="B15" s="17" t="s">
        <v>62</v>
      </c>
      <c r="C15" s="17" t="e">
        <v>#N/A</v>
      </c>
    </row>
    <row r="16" spans="1:3" ht="14.4" x14ac:dyDescent="0.3">
      <c r="A16" s="31">
        <v>44931</v>
      </c>
      <c r="B16" s="17" t="s">
        <v>63</v>
      </c>
      <c r="C16" s="17">
        <v>10</v>
      </c>
    </row>
    <row r="17" spans="1:3" ht="14.4" x14ac:dyDescent="0.3">
      <c r="A17" s="31">
        <v>44932</v>
      </c>
      <c r="B17" s="17" t="s">
        <v>153</v>
      </c>
      <c r="C17" s="17">
        <v>150</v>
      </c>
    </row>
    <row r="18" spans="1:3" ht="14.4" x14ac:dyDescent="0.3">
      <c r="A18" s="31">
        <v>44933</v>
      </c>
      <c r="B18" s="17" t="s">
        <v>154</v>
      </c>
      <c r="C18" s="17">
        <v>80</v>
      </c>
    </row>
    <row r="19" spans="1:3" ht="14.4" x14ac:dyDescent="0.3">
      <c r="A19" s="31">
        <v>44934</v>
      </c>
      <c r="B19" s="17" t="s">
        <v>155</v>
      </c>
      <c r="C19" s="17" t="e">
        <v>#N/A</v>
      </c>
    </row>
    <row r="20" spans="1:3" ht="14.4" x14ac:dyDescent="0.3">
      <c r="A20" s="31">
        <v>44935</v>
      </c>
      <c r="B20" s="17" t="s">
        <v>156</v>
      </c>
      <c r="C20" s="17">
        <v>30</v>
      </c>
    </row>
    <row r="21" spans="1:3" ht="14.4" x14ac:dyDescent="0.3">
      <c r="A21" s="31">
        <v>44936</v>
      </c>
      <c r="B21" s="17" t="s">
        <v>157</v>
      </c>
      <c r="C21" s="17" t="e">
        <v>#N/A</v>
      </c>
    </row>
    <row r="22" spans="1:3" ht="14.4" x14ac:dyDescent="0.3">
      <c r="B22" s="17" t="s">
        <v>158</v>
      </c>
      <c r="C22" s="25" cm="1">
        <f t="array" ref="C22">SUM(_xlfn.IFNA(C12:C21,20))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11" zoomScale="81" zoomScaleNormal="81" workbookViewId="0">
      <selection activeCell="B44" sqref="B44"/>
    </sheetView>
  </sheetViews>
  <sheetFormatPr defaultColWidth="11" defaultRowHeight="13.8" x14ac:dyDescent="0.3"/>
  <cols>
    <col min="1" max="1" width="32.77734375" style="2" bestFit="1" customWidth="1"/>
    <col min="2" max="2" width="64" style="2" customWidth="1"/>
    <col min="3" max="3" width="11.21875" style="2" customWidth="1"/>
    <col min="4" max="16384" width="11" style="2"/>
  </cols>
  <sheetData>
    <row r="1" spans="1:14" ht="21" x14ac:dyDescent="0.4">
      <c r="A1" s="41" t="s">
        <v>98</v>
      </c>
      <c r="B1" s="40" t="s">
        <v>174</v>
      </c>
    </row>
    <row r="3" spans="1:14" ht="14.4" x14ac:dyDescent="0.3">
      <c r="B3" s="1" t="s">
        <v>150</v>
      </c>
    </row>
    <row r="4" spans="1:14" ht="18" x14ac:dyDescent="0.35">
      <c r="A4" s="42" t="s">
        <v>53</v>
      </c>
      <c r="B4" s="1" t="s">
        <v>181</v>
      </c>
    </row>
    <row r="5" spans="1:14" ht="100.8" x14ac:dyDescent="0.35">
      <c r="A5" s="42" t="s">
        <v>152</v>
      </c>
      <c r="B5" s="47" t="s">
        <v>180</v>
      </c>
    </row>
    <row r="6" spans="1:14" ht="14.4" x14ac:dyDescent="0.3">
      <c r="A6" s="3"/>
      <c r="B6" s="1"/>
    </row>
    <row r="8" spans="1:14" ht="23.4" x14ac:dyDescent="0.45">
      <c r="A8" s="18" t="s">
        <v>161</v>
      </c>
      <c r="M8" s="18" t="s">
        <v>162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167</v>
      </c>
    </row>
    <row r="22" spans="1:14" ht="14.4" x14ac:dyDescent="0.3">
      <c r="A22" s="14" t="s">
        <v>100</v>
      </c>
      <c r="B22" s="17" t="s">
        <v>101</v>
      </c>
      <c r="C22" s="16" t="s">
        <v>102</v>
      </c>
      <c r="D22" s="48" t="s">
        <v>100</v>
      </c>
      <c r="E22" s="48" t="s">
        <v>101</v>
      </c>
      <c r="F22" s="2" t="s">
        <v>102</v>
      </c>
    </row>
    <row r="23" spans="1:14" ht="14.4" x14ac:dyDescent="0.3">
      <c r="A23" s="7">
        <v>10100</v>
      </c>
      <c r="B23" s="12">
        <v>10102</v>
      </c>
      <c r="C23" s="43">
        <v>95</v>
      </c>
      <c r="D23" s="48" t="str">
        <f>VLOOKUP(A23,M10:N18, 2, FALSE)</f>
        <v>A</v>
      </c>
      <c r="E23" s="48" t="str">
        <f>VLOOKUP(B23,M10:N18,2,FALSE)</f>
        <v>B</v>
      </c>
      <c r="F23" s="2">
        <f>INDEX($B$10:$J$18,MATCH(D23,$A$10:$A$18,0),MATCH(E23,$B$9:$J$9,0))</f>
        <v>95</v>
      </c>
    </row>
    <row r="24" spans="1:14" ht="14.4" x14ac:dyDescent="0.3">
      <c r="A24" s="7">
        <v>10100</v>
      </c>
      <c r="B24" s="12">
        <v>10104</v>
      </c>
      <c r="C24" s="43">
        <v>-1</v>
      </c>
      <c r="D24" s="48" t="str" cm="1">
        <f t="array" ref="D24:D35">VLOOKUP(A24:A35,M10:N18,2,FALSE)</f>
        <v>A</v>
      </c>
      <c r="E24" s="48" t="str" cm="1">
        <f t="array" ref="E24:E35">VLOOKUP(B24:B35,M10:N18,2,FALSE)</f>
        <v>C</v>
      </c>
      <c r="F24" s="2">
        <f t="shared" ref="F24:F35" si="0">INDEX($B$10:$J$18,MATCH(D24,$A$10:$A$18,0),MATCH(E24,$B$9:$J$9,0))</f>
        <v>-1</v>
      </c>
    </row>
    <row r="25" spans="1:14" ht="14.4" x14ac:dyDescent="0.3">
      <c r="A25" s="7">
        <v>10108</v>
      </c>
      <c r="B25" s="12">
        <v>10102</v>
      </c>
      <c r="C25" s="43">
        <v>160</v>
      </c>
      <c r="D25" s="48" t="str">
        <v>E</v>
      </c>
      <c r="E25" s="48" t="str">
        <v>B</v>
      </c>
      <c r="F25" s="2">
        <f t="shared" si="0"/>
        <v>160</v>
      </c>
    </row>
    <row r="26" spans="1:14" ht="14.4" x14ac:dyDescent="0.3">
      <c r="A26" s="7">
        <v>10100</v>
      </c>
      <c r="B26" s="12">
        <v>10106</v>
      </c>
      <c r="C26" s="43">
        <v>185</v>
      </c>
      <c r="D26" s="48" t="str">
        <v>A</v>
      </c>
      <c r="E26" s="48" t="str">
        <v>D</v>
      </c>
      <c r="F26" s="2">
        <f t="shared" si="0"/>
        <v>185</v>
      </c>
    </row>
    <row r="27" spans="1:14" ht="14.4" x14ac:dyDescent="0.3">
      <c r="A27" s="7">
        <v>10108</v>
      </c>
      <c r="B27" s="12">
        <v>10110</v>
      </c>
      <c r="C27" s="43">
        <v>50</v>
      </c>
      <c r="D27" s="48" t="str">
        <v>E</v>
      </c>
      <c r="E27" s="48" t="str">
        <v>F</v>
      </c>
      <c r="F27" s="2">
        <f t="shared" si="0"/>
        <v>50</v>
      </c>
    </row>
    <row r="28" spans="1:14" ht="14.4" x14ac:dyDescent="0.3">
      <c r="A28" s="7">
        <v>10102</v>
      </c>
      <c r="B28" s="12">
        <v>10104</v>
      </c>
      <c r="C28" s="43">
        <v>-1</v>
      </c>
      <c r="D28" s="48" t="str">
        <v>B</v>
      </c>
      <c r="E28" s="48" t="str">
        <v>C</v>
      </c>
      <c r="F28" s="2">
        <f t="shared" si="0"/>
        <v>-1</v>
      </c>
    </row>
    <row r="29" spans="1:14" ht="14.4" x14ac:dyDescent="0.3">
      <c r="A29" s="7">
        <v>10106</v>
      </c>
      <c r="B29" s="12">
        <v>10108</v>
      </c>
      <c r="C29" s="43">
        <v>70</v>
      </c>
      <c r="D29" s="48" t="str">
        <v>D</v>
      </c>
      <c r="E29" s="48" t="str">
        <v>E</v>
      </c>
      <c r="F29" s="2">
        <f t="shared" si="0"/>
        <v>70</v>
      </c>
    </row>
    <row r="30" spans="1:14" ht="14.4" x14ac:dyDescent="0.3">
      <c r="A30" s="7">
        <v>10102</v>
      </c>
      <c r="B30" s="12">
        <v>10106</v>
      </c>
      <c r="C30" s="43">
        <v>90</v>
      </c>
      <c r="D30" s="48" t="str">
        <v>B</v>
      </c>
      <c r="E30" s="48" t="str">
        <v>D</v>
      </c>
      <c r="F30" s="2">
        <f t="shared" si="0"/>
        <v>90</v>
      </c>
    </row>
    <row r="31" spans="1:14" ht="14.4" x14ac:dyDescent="0.3">
      <c r="A31" s="7">
        <v>10110</v>
      </c>
      <c r="B31" s="12">
        <v>10114</v>
      </c>
      <c r="C31" s="43">
        <v>180</v>
      </c>
      <c r="D31" s="48" t="str">
        <v>F</v>
      </c>
      <c r="E31" s="48" t="str">
        <v>H</v>
      </c>
      <c r="F31" s="2">
        <f t="shared" si="0"/>
        <v>180</v>
      </c>
    </row>
    <row r="32" spans="1:14" ht="14.4" x14ac:dyDescent="0.3">
      <c r="A32" s="7">
        <v>10104</v>
      </c>
      <c r="B32" s="12">
        <v>10106</v>
      </c>
      <c r="C32" s="43">
        <v>60</v>
      </c>
      <c r="D32" s="48" t="str">
        <v>C</v>
      </c>
      <c r="E32" s="48" t="str">
        <v>D</v>
      </c>
      <c r="F32" s="2">
        <f t="shared" si="0"/>
        <v>60</v>
      </c>
    </row>
    <row r="33" spans="1:6" ht="14.4" x14ac:dyDescent="0.3">
      <c r="A33" s="7">
        <v>10110</v>
      </c>
      <c r="B33" s="12">
        <v>10112</v>
      </c>
      <c r="C33" s="43">
        <v>115</v>
      </c>
      <c r="D33" s="48" t="str">
        <v>F</v>
      </c>
      <c r="E33" s="48" t="str">
        <v>G</v>
      </c>
      <c r="F33" s="2">
        <f t="shared" si="0"/>
        <v>115</v>
      </c>
    </row>
    <row r="34" spans="1:6" ht="14.4" x14ac:dyDescent="0.3">
      <c r="A34" s="7">
        <v>10100</v>
      </c>
      <c r="B34" s="12">
        <v>10114</v>
      </c>
      <c r="C34" s="43">
        <v>480</v>
      </c>
      <c r="D34" s="48" t="str">
        <v>A</v>
      </c>
      <c r="E34" s="48" t="str">
        <v>H</v>
      </c>
      <c r="F34" s="2">
        <f t="shared" si="0"/>
        <v>480</v>
      </c>
    </row>
    <row r="35" spans="1:6" ht="14.4" x14ac:dyDescent="0.3">
      <c r="A35" s="9">
        <v>10112</v>
      </c>
      <c r="B35" s="13">
        <v>10116</v>
      </c>
      <c r="C35" s="44">
        <v>105</v>
      </c>
      <c r="D35" s="48" t="str">
        <v>G</v>
      </c>
      <c r="E35" s="48" t="str">
        <v>I</v>
      </c>
      <c r="F35" s="2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shiva Yadav</cp:lastModifiedBy>
  <dcterms:created xsi:type="dcterms:W3CDTF">2015-02-10T17:33:11Z</dcterms:created>
  <dcterms:modified xsi:type="dcterms:W3CDTF">2024-10-24T10:07:01Z</dcterms:modified>
</cp:coreProperties>
</file>